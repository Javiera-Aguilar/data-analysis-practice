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1ed377a573882c/Documentos/Analisis de Datos/Portafolio/"/>
    </mc:Choice>
  </mc:AlternateContent>
  <xr:revisionPtr revIDLastSave="12" documentId="13_ncr:1_{B1DAC27E-1D5E-48CD-A031-BD2D9D9A9734}" xr6:coauthVersionLast="47" xr6:coauthVersionMax="47" xr10:uidLastSave="{2A206F43-07B0-4247-B206-F667865E1F0B}"/>
  <bookViews>
    <workbookView xWindow="-110" yWindow="-110" windowWidth="19420" windowHeight="10300" activeTab="1" xr2:uid="{BA2D6DFD-F842-492A-9CE2-89E12C7C6AAF}"/>
  </bookViews>
  <sheets>
    <sheet name="Datos_Trabajados" sheetId="1" r:id="rId1"/>
    <sheet name="Rango Etario" sheetId="7" r:id="rId2"/>
    <sheet name="SNASPE LOS LAGOS" sheetId="3" r:id="rId3"/>
    <sheet name="Validación_Datos" sheetId="5" r:id="rId4"/>
  </sheets>
  <definedNames>
    <definedName name="DatosExternos_1" localSheetId="2" hidden="1">'SNASPE LOS LAGOS'!$A$1:$Q$13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 a="1"/>
  <c r="D8" i="5" s="1"/>
  <c r="D5" i="5" a="1"/>
  <c r="D5" i="5" s="1"/>
  <c r="D2" i="5" a="1"/>
  <c r="D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0A25F-B02F-4AC7-88F9-CBFED1B4BC87}" keepAlive="1" name="Consulta - SNASPE LOS LAGOS" description="Conexión a la consulta 'SNASPE LOS LAGOS' en el libro." type="5" refreshedVersion="8" background="1" saveData="1">
    <dbPr connection="Provider=Microsoft.Mashup.OleDb.1;Data Source=$Workbook$;Location=&quot;SNASPE LOS LAGOS&quot;;Extended Properties=&quot;&quot;" command="SELECT * FROM [SNASPE LOS LAG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<sst xmlns="http://schemas.openxmlformats.org/spreadsheetml/2006/main" count="115" uniqueCount="67">
  <si>
    <t>PERIODO</t>
  </si>
  <si>
    <t>TOTALES</t>
  </si>
  <si>
    <t>SEXO</t>
  </si>
  <si>
    <t>RANGO ETARIO</t>
  </si>
  <si>
    <t>RESIDENCIA</t>
  </si>
  <si>
    <t>OTROS</t>
  </si>
  <si>
    <t>N.</t>
  </si>
  <si>
    <t>AÑO</t>
  </si>
  <si>
    <t>MES</t>
  </si>
  <si>
    <t>Var. 12 meses (%)</t>
  </si>
  <si>
    <t>Hombres</t>
  </si>
  <si>
    <t>Part.</t>
  </si>
  <si>
    <t>Mujeres</t>
  </si>
  <si>
    <t>Adulto</t>
  </si>
  <si>
    <t>Menor</t>
  </si>
  <si>
    <t>Adulto Mayor</t>
  </si>
  <si>
    <t>Chileno</t>
  </si>
  <si>
    <t>Extranjero</t>
  </si>
  <si>
    <t>Persona con Discapacidad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</si>
  <si>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</si>
  <si>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</si>
  <si>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</si>
  <si>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</si>
  <si>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</si>
  <si>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</si>
  <si>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</si>
  <si>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</si>
  <si>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</si>
  <si>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</si>
  <si>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</si>
  <si>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</si>
  <si>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</si>
  <si>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</si>
  <si>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</si>
  <si>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</si>
  <si>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</si>
  <si>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</si>
  <si>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</si>
  <si>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</si>
  <si>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</si>
  <si>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</si>
  <si>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</si>
  <si>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</si>
  <si>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</si>
  <si>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</si>
  <si>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</si>
  <si>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</si>
  <si>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</si>
  <si>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</si>
  <si>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</si>
  <si>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</si>
  <si>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</si>
  <si>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</si>
  <si>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Mes</t>
  </si>
  <si>
    <t>Total Visitas</t>
  </si>
  <si>
    <t>Part. Hombres</t>
  </si>
  <si>
    <t>Part. Mujeres</t>
  </si>
  <si>
    <t>Part. Adultos</t>
  </si>
  <si>
    <t>Part. Menor</t>
  </si>
  <si>
    <t>Part. Adulto Mayor</t>
  </si>
  <si>
    <t>Part. Chileno</t>
  </si>
  <si>
    <t>Part. Extranjero</t>
  </si>
  <si>
    <t>Suma de Total Visitas</t>
  </si>
  <si>
    <t>Total</t>
  </si>
  <si>
    <t>Validación Part. Género</t>
  </si>
  <si>
    <t>Validación Part. Rango Etario</t>
  </si>
  <si>
    <t>Validación Part. 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</si>
</sst>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Participación por Rango Etario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'SNASPE LOS LAGOS'!$H$1</c:f>
              <c:strCache>
                <c:ptCount val="1"/>
                <c:pt idx="0">
                  <c:v>Part. Adultos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'SNASPE LOS LAGOS'!$A$2:$A$13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'SNASPE LOS LAGOS'!$H$2:$H$13</c:f>
              <c:numCache>
                <c:formatCode>0.00%</c:formatCode>
                <c:ptCount val="12"/>
                <c:pt idx="0">
                  <c:v>0.79100000000000004</c:v>
                </c:pt>
                <c:pt idx="1">
                  <c:v>0.79390000000000005</c:v>
                </c:pt>
                <c:pt idx="2">
                  <c:v>0.80259999999999998</c:v>
                </c:pt>
                <c:pt idx="3">
                  <c:v>0.8206</c:v>
                </c:pt>
                <c:pt idx="4">
                  <c:v>0.82340000000000002</c:v>
                </c:pt>
                <c:pt idx="5">
                  <c:v>0.81779999999999997</c:v>
                </c:pt>
                <c:pt idx="6">
                  <c:v>0.86539999999999995</c:v>
                </c:pt>
                <c:pt idx="7">
                  <c:v>0.85329999999999995</c:v>
                </c:pt>
                <c:pt idx="8">
                  <c:v>0.87309999999999999</c:v>
                </c:pt>
                <c:pt idx="9">
                  <c:v>0.54830000000000001</c:v>
                </c:pt>
                <c:pt idx="10">
                  <c:v>0.54759999999999998</c:v>
                </c:pt>
                <c:pt idx="11">
                  <c:v>0.54369999999999996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2-4320-A90A-D38B1D50DD8B}"/>
            </c:ext>
          </c:extLst>
        </c:ser>
        <c:ser>
          <c:idx val="1"/>
          <c:order val="1"/>
          <c:tx>
            <c:strRef>
              <c:f>'SNASPE LOS LAGOS'!$J$1</c:f>
              <c:strCache>
                <c:ptCount val="1"/>
                <c:pt idx="0">
                  <c:v>Part. Menor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'SNASPE LOS LAGOS'!$A$2:$A$13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'SNASPE LOS LAGOS'!$J$2:$J$13</c:f>
              <c:numCache>
                <c:formatCode>0.00%</c:formatCode>
                <c:ptCount val="12"/>
                <c:pt idx="0">
                  <c:v>0.15529999999999999</c:v>
                </c:pt>
                <c:pt idx="1">
                  <c:v>0.15310000000000001</c:v>
                </c:pt>
                <c:pt idx="2">
                  <c:v>0.14460000000000001</c:v>
                </c:pt>
                <c:pt idx="3">
                  <c:v>0.13350000000000001</c:v>
                </c:pt>
                <c:pt idx="4">
                  <c:v>0.13159999999999999</c:v>
                </c:pt>
                <c:pt idx="5">
                  <c:v>0.13650000000000001</c:v>
                </c:pt>
                <c:pt idx="6">
                  <c:v>0.12520000000000001</c:v>
                </c:pt>
                <c:pt idx="7">
                  <c:v>0.12809999999999999</c:v>
                </c:pt>
                <c:pt idx="8">
                  <c:v>8.5000000000000006E-2</c:v>
                </c:pt>
                <c:pt idx="9">
                  <c:v>0.38490000000000002</c:v>
                </c:pt>
                <c:pt idx="10">
                  <c:v>0.2001</c:v>
                </c:pt>
                <c:pt idx="11">
                  <c:v>0.2445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2-4320-A90A-D38B1D50DD8B}"/>
            </c:ext>
          </c:extLst>
        </c:ser>
        <c:ser>
          <c:idx val="2"/>
          <c:order val="2"/>
          <c:tx>
            <c:strRef>
              <c:f>'SNASPE LOS LAGOS'!$L$1</c:f>
              <c:strCache>
                <c:ptCount val="1"/>
                <c:pt idx="0">
                  <c:v>Part. Adulto Mayor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'SNASPE LOS LAGOS'!$A$2:$A$13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'SNASPE LOS LAGOS'!$L$2:$L$13</c:f>
              <c:numCache>
                <c:formatCode>0.00%</c:formatCode>
                <c:ptCount val="12"/>
                <c:pt idx="0">
                  <c:v>5.3699999999999998E-2</c:v>
                </c:pt>
                <c:pt idx="1">
                  <c:v>5.3100000000000001E-2</c:v>
                </c:pt>
                <c:pt idx="2">
                  <c:v>5.28E-2</c:v>
                </c:pt>
                <c:pt idx="3">
                  <c:v>4.5900000000000003E-2</c:v>
                </c:pt>
                <c:pt idx="4">
                  <c:v>4.4999999999999998E-2</c:v>
                </c:pt>
                <c:pt idx="5">
                  <c:v>4.5699999999999998E-2</c:v>
                </c:pt>
                <c:pt idx="6">
                  <c:v>9.4999999999999998E-3</c:v>
                </c:pt>
                <c:pt idx="7">
                  <c:v>1.8599999999999998E-2</c:v>
                </c:pt>
                <c:pt idx="8">
                  <c:v>4.1799999999999997E-2</c:v>
                </c:pt>
                <c:pt idx="9">
                  <c:v>6.6900000000000001E-2</c:v>
                </c:pt>
                <c:pt idx="10">
                  <c:v>0.25240000000000001</c:v>
                </c:pt>
                <c:pt idx="11">
                  <c:v>0.21179999999999999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2-4320-A90A-D38B1D50D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449440"/>
        <c:axId val="227452320"/>
      </c:lineChart>
      <c:catAx>
        <c:axId val="2274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7452320"/>
        <c:crosses val="autoZero"/>
        <c:auto val="1"/>
        <c:lblAlgn val="ctr"/>
        <c:lblOffset val="100"/>
        <c:noMultiLvlLbl val="0"/>
      </c:catAx>
      <c:valAx>
        <c:axId val="2274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74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A9DFC2-69D5-4C67-842F-AF045DEAA0E6}">
  <sheetPr/>
  <sheetViews>
    <sheetView tabSelected="1" zoomScale="6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4C897-94CC-C10E-4B74-247538690C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 aguilar" refreshedDate="46023.737773379631" createdVersion="8" refreshedVersion="8" minRefreshableVersion="3" recordCount="12" xr:uid="{FD10E070-C096-4E82-BFDC-7D955D6440D9}">
  <cacheSource type="worksheet">
    <worksheetSource name="SNASPE_LOS_LAGOS"/>
  </cacheSource>
  <cacheFields count="17"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Total Visitas" numFmtId="0">
      <sharedItems containsSemiMixedTypes="0" containsString="0" containsNumber="1" containsInteger="1" minValue="31650" maxValue="208537"/>
    </cacheField>
    <cacheField name="Hombres" numFmtId="0">
      <sharedItems containsSemiMixedTypes="0" containsString="0" containsNumber="1" containsInteger="1" minValue="16020" maxValue="104502"/>
    </cacheField>
    <cacheField name="Part. Hombres" numFmtId="0">
      <sharedItems containsSemiMixedTypes="0" containsString="0" containsNumber="1" minValue="0.45390000000000003" maxValue="0.50619999999999998"/>
    </cacheField>
    <cacheField name="Mujeres" numFmtId="0">
      <sharedItems containsSemiMixedTypes="0" containsString="0" containsNumber="1" containsInteger="1" minValue="15630" maxValue="104035"/>
    </cacheField>
    <cacheField name="Part. Mujeres" numFmtId="0">
      <sharedItems containsSemiMixedTypes="0" containsString="0" containsNumber="1" minValue="0.49380000000000002" maxValue="0.54610000000000003"/>
    </cacheField>
    <cacheField name="Adulto" numFmtId="0">
      <sharedItems containsSemiMixedTypes="0" containsString="0" containsNumber="1" containsInteger="1" minValue="26062" maxValue="165552"/>
    </cacheField>
    <cacheField name="Part. Adultos" numFmtId="0">
      <sharedItems containsSemiMixedTypes="0" containsString="0" containsNumber="1" minValue="0.54369999999999996" maxValue="0.87309999999999999"/>
    </cacheField>
    <cacheField name="Menor" numFmtId="0">
      <sharedItems containsSemiMixedTypes="0" containsString="0" containsNumber="1" containsInteger="1" minValue="3418" maxValue="31920"/>
    </cacheField>
    <cacheField name="Part. Menor" numFmtId="0">
      <sharedItems containsSemiMixedTypes="0" containsString="0" containsNumber="1" minValue="8.5000000000000006E-2" maxValue="0.38490000000000002"/>
    </cacheField>
    <cacheField name="Adulto Mayor" numFmtId="0">
      <sharedItems containsSemiMixedTypes="0" containsString="0" containsNumber="1" containsInteger="1" minValue="589" maxValue="14980"/>
    </cacheField>
    <cacheField name="Part. Adulto Mayor" numFmtId="0">
      <sharedItems containsSemiMixedTypes="0" containsString="0" containsNumber="1" minValue="9.4999999999999998E-3" maxValue="0.25240000000000001"/>
    </cacheField>
    <cacheField name="Chileno" numFmtId="0">
      <sharedItems containsSemiMixedTypes="0" containsString="0" containsNumber="1" containsInteger="1" minValue="26176" maxValue="168604"/>
    </cacheField>
    <cacheField name="Part. Chileno" numFmtId="0">
      <sharedItems containsSemiMixedTypes="0" containsString="0" containsNumber="1" minValue="0.70199999999999996" maxValue="0.85360000000000003"/>
    </cacheField>
    <cacheField name="Extranjero" numFmtId="0">
      <sharedItems containsSemiMixedTypes="0" containsString="0" containsNumber="1" containsInteger="1" minValue="5474" maxValue="39933"/>
    </cacheField>
    <cacheField name="Part. Extranjero" numFmtId="0">
      <sharedItems containsSemiMixedTypes="0" containsString="0" containsNumber="1" minValue="0.1464" maxValue="0.29799999999999999"/>
    </cacheField>
    <cacheField name="Persona con Discapacidad" numFmtId="0">
      <sharedItems containsSemiMixedTypes="0" containsString="0" containsNumber="1" containsInteger="1" minValue="256" maxValue="17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53033"/>
    <n v="76632"/>
    <n v="0.50080000000000002"/>
    <n v="76401"/>
    <n v="0.49919999999999998"/>
    <n v="121051"/>
    <n v="0.79100000000000004"/>
    <n v="23762"/>
    <n v="0.15529999999999999"/>
    <n v="8220"/>
    <n v="5.3699999999999998E-2"/>
    <n v="121327"/>
    <n v="0.79279999999999995"/>
    <n v="31706"/>
    <n v="0.2072"/>
    <n v="902"/>
  </r>
  <r>
    <x v="1"/>
    <n v="208537"/>
    <n v="104502"/>
    <n v="0.50109999999999999"/>
    <n v="104035"/>
    <n v="0.49890000000000001"/>
    <n v="165552"/>
    <n v="0.79390000000000005"/>
    <n v="31920"/>
    <n v="0.15310000000000001"/>
    <n v="11065"/>
    <n v="5.3100000000000001E-2"/>
    <n v="168604"/>
    <n v="0.8085"/>
    <n v="39933"/>
    <n v="0.1915"/>
    <n v="1706"/>
  </r>
  <r>
    <x v="2"/>
    <n v="64779"/>
    <n v="32599"/>
    <n v="0.50319999999999998"/>
    <n v="32180"/>
    <n v="0.49680000000000002"/>
    <n v="51992"/>
    <n v="0.80259999999999998"/>
    <n v="9365"/>
    <n v="0.14460000000000001"/>
    <n v="3422"/>
    <n v="5.28E-2"/>
    <n v="52941"/>
    <n v="0.81730000000000003"/>
    <n v="11838"/>
    <n v="0.1827"/>
    <n v="523"/>
  </r>
  <r>
    <x v="3"/>
    <n v="33488"/>
    <n v="16929"/>
    <n v="0.50549999999999995"/>
    <n v="16559"/>
    <n v="0.4945"/>
    <n v="27479"/>
    <n v="0.8206"/>
    <n v="4471"/>
    <n v="0.13350000000000001"/>
    <n v="1538"/>
    <n v="4.5900000000000003E-2"/>
    <n v="27720"/>
    <n v="0.82779999999999998"/>
    <n v="5768"/>
    <n v="0.17219999999999999"/>
    <n v="270"/>
  </r>
  <r>
    <x v="4"/>
    <n v="31650"/>
    <n v="16020"/>
    <n v="0.50619999999999998"/>
    <n v="15630"/>
    <n v="0.49380000000000002"/>
    <n v="26062"/>
    <n v="0.82340000000000002"/>
    <n v="4164"/>
    <n v="0.13159999999999999"/>
    <n v="1424"/>
    <n v="4.4999999999999998E-2"/>
    <n v="26176"/>
    <n v="0.82699999999999996"/>
    <n v="5474"/>
    <n v="0.17299999999999999"/>
    <n v="256"/>
  </r>
  <r>
    <x v="5"/>
    <n v="38671"/>
    <n v="19523"/>
    <n v="0.50480000000000003"/>
    <n v="19148"/>
    <n v="0.49519999999999997"/>
    <n v="31626"/>
    <n v="0.81779999999999997"/>
    <n v="5277"/>
    <n v="0.13650000000000001"/>
    <n v="1768"/>
    <n v="4.5699999999999998E-2"/>
    <n v="31824"/>
    <n v="0.82289999999999996"/>
    <n v="6847"/>
    <n v="0.17710000000000001"/>
    <n v="316"/>
  </r>
  <r>
    <x v="6"/>
    <n v="62261"/>
    <n v="31210"/>
    <n v="0.50129999999999997"/>
    <n v="31051"/>
    <n v="0.49869999999999998"/>
    <n v="53880"/>
    <n v="0.86539999999999995"/>
    <n v="7792"/>
    <n v="0.12520000000000001"/>
    <n v="589"/>
    <n v="9.4999999999999998E-3"/>
    <n v="53143"/>
    <n v="0.85360000000000003"/>
    <n v="9118"/>
    <n v="0.1464"/>
    <n v="593"/>
  </r>
  <r>
    <x v="7"/>
    <n v="40685"/>
    <n v="20418"/>
    <n v="0.50190000000000001"/>
    <n v="20267"/>
    <n v="0.49809999999999999"/>
    <n v="34718"/>
    <n v="0.85329999999999995"/>
    <n v="5212"/>
    <n v="0.12809999999999999"/>
    <n v="755"/>
    <n v="1.8599999999999998E-2"/>
    <n v="34316"/>
    <n v="0.84350000000000003"/>
    <n v="6369"/>
    <n v="0.1565"/>
    <n v="368"/>
  </r>
  <r>
    <x v="8"/>
    <n v="40196"/>
    <n v="19690"/>
    <n v="0.48980000000000001"/>
    <n v="20506"/>
    <n v="0.51019999999999999"/>
    <n v="35097"/>
    <n v="0.87309999999999999"/>
    <n v="3418"/>
    <n v="8.5000000000000006E-2"/>
    <n v="1681"/>
    <n v="4.1799999999999997E-2"/>
    <n v="33435"/>
    <n v="0.83179999999999998"/>
    <n v="6761"/>
    <n v="0.16819999999999999"/>
    <n v="780"/>
  </r>
  <r>
    <x v="9"/>
    <n v="49461"/>
    <n v="22452"/>
    <n v="0.45390000000000003"/>
    <n v="27009"/>
    <n v="0.54610000000000003"/>
    <n v="27117"/>
    <n v="0.54830000000000001"/>
    <n v="19036"/>
    <n v="0.38490000000000002"/>
    <n v="3308"/>
    <n v="6.6900000000000001E-2"/>
    <n v="38405"/>
    <n v="0.77649999999999997"/>
    <n v="11056"/>
    <n v="0.2235"/>
    <n v="294"/>
  </r>
  <r>
    <x v="10"/>
    <n v="56338"/>
    <n v="26325"/>
    <n v="0.46729999999999999"/>
    <n v="30013"/>
    <n v="0.53269999999999995"/>
    <n v="30849"/>
    <n v="0.54759999999999998"/>
    <n v="11272"/>
    <n v="0.2001"/>
    <n v="14217"/>
    <n v="0.25240000000000001"/>
    <n v="39549"/>
    <n v="0.70199999999999996"/>
    <n v="16789"/>
    <n v="0.29799999999999999"/>
    <n v="358"/>
  </r>
  <r>
    <x v="11"/>
    <n v="70714"/>
    <n v="34811"/>
    <n v="0.49230000000000002"/>
    <n v="35903"/>
    <n v="0.50770000000000004"/>
    <n v="38446"/>
    <n v="0.54369999999999996"/>
    <n v="17288"/>
    <n v="0.2445"/>
    <n v="14980"/>
    <n v="0.21179999999999999"/>
    <n v="50203"/>
    <n v="0.70989999999999998"/>
    <n v="20511"/>
    <n v="0.29010000000000002"/>
    <n v="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ADC89-E2C5-4FD5-9CDE-A9BEA862637E}" name="TablaDinámica1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ES">
  <location ref="A1:B14" firstHeaderRow="1" firstDataRow="1" firstDataCol="1"/>
  <pivotFields count="1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Total Visita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9F8438D-A5BF-49DF-9C5E-43E4713200DD}" autoFormatId="16" applyNumberFormats="0" applyBorderFormats="0" applyFontFormats="0" applyPatternFormats="0" applyAlignmentFormats="0" applyWidthHeightFormats="0">
  <queryTableRefresh nextId="18">
    <queryTableFields count="17">
      <queryTableField id="1" name="Mes" tableColumnId="1"/>
      <queryTableField id="2" name="Total Visitas" tableColumnId="2"/>
      <queryTableField id="3" name="Hombres" tableColumnId="3"/>
      <queryTableField id="4" name="Part. Hombres" tableColumnId="4"/>
      <queryTableField id="5" name="Mujeres" tableColumnId="5"/>
      <queryTableField id="6" name="Part. Mujeres" tableColumnId="6"/>
      <queryTableField id="7" name="Adulto" tableColumnId="7"/>
      <queryTableField id="8" name="Part. Adultos" tableColumnId="8"/>
      <queryTableField id="9" name="Menor" tableColumnId="9"/>
      <queryTableField id="10" name="Part. Menor" tableColumnId="10"/>
      <queryTableField id="11" name="Adulto Mayor" tableColumnId="11"/>
      <queryTableField id="12" name="Part. Adulto Mayor" tableColumnId="12"/>
      <queryTableField id="13" name="Chileno" tableColumnId="13"/>
      <queryTableField id="14" name="Part. Chileno" tableColumnId="14"/>
      <queryTableField id="15" name="Extranjero" tableColumnId="15"/>
      <queryTableField id="16" name="Part. Extranjero" tableColumnId="16"/>
      <queryTableField id="17" name="Persona con Discapacidad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9FB44-F52C-483E-8627-76F1D06C02E9}" name="Tabla1" displayName="Tabla1" ref="A6:AB19" totalsRowShown="0" headerRowDxfId="38" dataDxfId="37">
  <autoFilter ref="A6:AB19" xr:uid="{7719FB44-F52C-483E-8627-76F1D06C02E9}"/>
  <tableColumns count="28">
    <tableColumn id="1" xr3:uid="{70DE5836-FDAF-4B4C-80EA-9626F0D245E8}" name="Columna1" dataDxfId="36"/>
    <tableColumn id="2" xr3:uid="{37A527E1-CF24-446D-9239-FF182975D2D8}" name="PERIODO" dataDxfId="35"/>
    <tableColumn id="3" xr3:uid="{3B74F7AC-0FD8-4081-8470-7F1620B18584}" name="Columna2" dataDxfId="34"/>
    <tableColumn id="4" xr3:uid="{2C4996D8-87C5-491D-A295-C28341B18CB9}" name="TOTALES" dataDxfId="33"/>
    <tableColumn id="5" xr3:uid="{143C6F13-0C83-4EAC-A679-946DEA3F77D1}" name="Columna3" dataDxfId="32"/>
    <tableColumn id="6" xr3:uid="{1D05DF83-5577-40D8-A575-C98697CC13F4}" name="SEXO" dataDxfId="31"/>
    <tableColumn id="7" xr3:uid="{463A55D7-D357-47B6-A870-A851FEFE6E89}" name="Columna4" dataDxfId="30"/>
    <tableColumn id="8" xr3:uid="{9CAE723E-5575-4F90-89BB-B51C88120629}" name="Columna5" dataDxfId="29"/>
    <tableColumn id="9" xr3:uid="{DD1C074D-E052-4A54-9D56-D6B4D2689787}" name="Columna6" dataDxfId="28"/>
    <tableColumn id="10" xr3:uid="{590684CF-5779-4405-A805-B8CAFB0A9B56}" name="Columna7" dataDxfId="27"/>
    <tableColumn id="11" xr3:uid="{C82BDF27-9CEF-4753-A87C-072CD8E2BE28}" name="Columna8" dataDxfId="26"/>
    <tableColumn id="12" xr3:uid="{ACC15985-1478-4B10-B5E0-8FC6A4D2E620}" name="RANGO ETARIO" dataDxfId="25"/>
    <tableColumn id="13" xr3:uid="{0807F1A0-E341-4EFD-94A9-99627FE160B8}" name="Columna9" dataDxfId="24"/>
    <tableColumn id="14" xr3:uid="{22938FD7-8115-4AD3-B63E-2E589F907D63}" name="Columna10" dataDxfId="23"/>
    <tableColumn id="15" xr3:uid="{4A9B95AA-C1C9-40E8-938B-C826E811898E}" name="Columna11" dataDxfId="22"/>
    <tableColumn id="16" xr3:uid="{CECED424-EBC3-4758-8F86-02C5F1A3CEFE}" name="Columna12" dataDxfId="21"/>
    <tableColumn id="17" xr3:uid="{7B7B5115-0A00-4AD7-8B30-4071867CEA51}" name="Columna13" dataDxfId="20"/>
    <tableColumn id="18" xr3:uid="{692E6A82-0D70-4359-9DBA-3928A1EDAB65}" name="Columna14" dataDxfId="19"/>
    <tableColumn id="19" xr3:uid="{149666E8-B451-4023-B051-8FC4DCE1C208}" name="Columna15" dataDxfId="18"/>
    <tableColumn id="20" xr3:uid="{A9DA21B3-4FFA-45DC-970F-57C5E63D960A}" name="Columna16" dataDxfId="17"/>
    <tableColumn id="21" xr3:uid="{10FD20C9-2198-45D1-B908-06CF6FBDD18C}" name="RESIDENCIA" dataDxfId="16"/>
    <tableColumn id="22" xr3:uid="{70BE6779-0FE0-4879-A272-8E380C67F670}" name="Columna17" dataDxfId="15"/>
    <tableColumn id="23" xr3:uid="{5CBBC78C-450D-4FF2-BFAA-9B9D1A3F6AA6}" name="Columna18" dataDxfId="14"/>
    <tableColumn id="24" xr3:uid="{DC4E9044-4EE3-4ECA-B065-BFB7E7F50E02}" name="Columna19" dataDxfId="13"/>
    <tableColumn id="25" xr3:uid="{C9C1E5EB-6210-43CB-9458-CA5BD2F06279}" name="Columna20" dataDxfId="12"/>
    <tableColumn id="26" xr3:uid="{86D7FA01-2A7C-419D-B07B-FA05D37629BF}" name="Columna21" dataDxfId="11"/>
    <tableColumn id="27" xr3:uid="{EF48E3B0-EC9D-42D0-8A66-8EC491170401}" name="OTROS" dataDxfId="10"/>
    <tableColumn id="28" xr3:uid="{3554A82F-BC6A-435B-AAD5-C09C4513099A}" name="Columna2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AB0DC-0B3C-46C8-A7CB-76A28BA4E7D1}" name="SNASPE_LOS_LAGOS" displayName="SNASPE_LOS_LAGOS" ref="A1:Q13" tableType="queryTable" totalsRowShown="0">
  <autoFilter ref="A1:Q13" xr:uid="{922AB0DC-0B3C-46C8-A7CB-76A28BA4E7D1}"/>
  <tableColumns count="17">
    <tableColumn id="1" xr3:uid="{AB23D8D2-5236-4B13-AF4C-0689D4C57623}" uniqueName="1" name="Mes" queryTableFieldId="1" dataDxfId="8" totalsRowDxfId="7"/>
    <tableColumn id="2" xr3:uid="{D6B3F3FD-C092-45BD-AC7A-E551D646CC74}" uniqueName="2" name="Total Visitas" queryTableFieldId="2"/>
    <tableColumn id="3" xr3:uid="{8794F338-11FC-4209-928D-E3EF220A3EBA}" uniqueName="3" name="Hombres" queryTableFieldId="3"/>
    <tableColumn id="4" xr3:uid="{ED73CF98-5061-4A30-BD20-A0E5637423D4}" uniqueName="4" name="Part. Hombres" queryTableFieldId="4" dataDxfId="6"/>
    <tableColumn id="5" xr3:uid="{8626B718-ECE6-460F-A53A-0DE78B64D8EF}" uniqueName="5" name="Mujeres" queryTableFieldId="5"/>
    <tableColumn id="6" xr3:uid="{4034BFA1-81B1-4CD6-88AA-20BCB78510C3}" uniqueName="6" name="Part. Mujeres" queryTableFieldId="6" dataDxfId="5"/>
    <tableColumn id="7" xr3:uid="{5C519F81-8812-45E8-9FEF-F791ADCBAD70}" uniqueName="7" name="Adulto" queryTableFieldId="7"/>
    <tableColumn id="8" xr3:uid="{4D0FA97B-A972-45E8-91A2-6E616E690E01}" uniqueName="8" name="Part. Adultos" queryTableFieldId="8" dataDxfId="4"/>
    <tableColumn id="9" xr3:uid="{FCF323EC-384B-4BB9-BA22-A62312FEACBA}" uniqueName="9" name="Menor" queryTableFieldId="9"/>
    <tableColumn id="10" xr3:uid="{F4153107-9AE6-4A1D-8CB1-C095091F6777}" uniqueName="10" name="Part. Menor" queryTableFieldId="10" dataDxfId="3"/>
    <tableColumn id="11" xr3:uid="{C61F98D5-ADA1-4712-8FB1-F493F5527652}" uniqueName="11" name="Adulto Mayor" queryTableFieldId="11"/>
    <tableColumn id="12" xr3:uid="{050B0226-C85C-470E-902B-32032363984F}" uniqueName="12" name="Part. Adulto Mayor" queryTableFieldId="12" dataDxfId="2"/>
    <tableColumn id="13" xr3:uid="{916B4039-EFC0-4F71-934B-D0EE4D4A3016}" uniqueName="13" name="Chileno" queryTableFieldId="13"/>
    <tableColumn id="14" xr3:uid="{4A8102AE-5DFA-43FB-9421-AF5E969C9ED1}" uniqueName="14" name="Part. Chileno" queryTableFieldId="14" dataDxfId="1"/>
    <tableColumn id="15" xr3:uid="{6EFD5DEF-854C-4066-A1B7-C12F5E0D9D74}" uniqueName="15" name="Extranjero" queryTableFieldId="15"/>
    <tableColumn id="16" xr3:uid="{168EBA79-6121-48F9-9679-88C111DB3149}" uniqueName="16" name="Part. Extranjero" queryTableFieldId="16" dataDxfId="0"/>
    <tableColumn id="17" xr3:uid="{D0B53787-973D-4D2D-8C21-C7D2FB31D92B}" uniqueName="17" name="Persona con Discapacidad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0777-1BA0-4CF1-91D8-94BEF553A975}">
  <sheetPr codeName="Hoja2"/>
  <dimension ref="A1:AB19"/>
  <sheetViews>
    <sheetView workbookViewId="0">
      <selection activeCell="A6" sqref="A6"/>
    </sheetView>
  </sheetViews>
  <sheetFormatPr baseColWidth="10" defaultColWidth="8.7265625" defaultRowHeight="14.5" x14ac:dyDescent="0.35"/>
  <cols>
    <col min="1" max="1" width="11.453125" customWidth="1"/>
    <col min="2" max="2" width="10.453125" customWidth="1"/>
    <col min="3" max="3" width="11.453125" customWidth="1"/>
    <col min="4" max="4" width="10" customWidth="1"/>
    <col min="5" max="5" width="15.453125" bestFit="1" customWidth="1"/>
    <col min="6" max="6" width="8.36328125" bestFit="1" customWidth="1"/>
    <col min="7" max="7" width="15.453125" bestFit="1" customWidth="1"/>
    <col min="8" max="9" width="11.453125" customWidth="1"/>
    <col min="10" max="10" width="15.453125" bestFit="1" customWidth="1"/>
    <col min="11" max="11" width="11.453125" customWidth="1"/>
    <col min="12" max="12" width="15.26953125" customWidth="1"/>
    <col min="13" max="13" width="15.453125" bestFit="1" customWidth="1"/>
    <col min="14" max="15" width="12.453125" customWidth="1"/>
    <col min="16" max="16" width="15.453125" bestFit="1" customWidth="1"/>
    <col min="17" max="18" width="12.453125" customWidth="1"/>
    <col min="19" max="19" width="15.453125" bestFit="1" customWidth="1"/>
    <col min="20" max="20" width="12.453125" customWidth="1"/>
    <col min="21" max="21" width="13.08984375" customWidth="1"/>
    <col min="22" max="22" width="15.453125" bestFit="1" customWidth="1"/>
    <col min="23" max="24" width="12.453125" customWidth="1"/>
    <col min="25" max="25" width="15.453125" bestFit="1" customWidth="1"/>
    <col min="26" max="26" width="12.453125" customWidth="1"/>
    <col min="27" max="27" width="23.08984375" bestFit="1" customWidth="1"/>
    <col min="28" max="28" width="15.453125" bestFit="1" customWidth="1"/>
  </cols>
  <sheetData>
    <row r="1" spans="1:28" x14ac:dyDescent="0.35">
      <c r="A1" s="1"/>
    </row>
    <row r="2" spans="1:28" ht="16.5" customHeight="1" x14ac:dyDescent="0.35"/>
    <row r="3" spans="1:28" ht="14.5" customHeight="1" x14ac:dyDescent="0.35"/>
    <row r="4" spans="1:28" ht="14.5" customHeight="1" x14ac:dyDescent="0.35"/>
    <row r="5" spans="1:28" ht="14.5" customHeight="1" x14ac:dyDescent="0.35"/>
    <row r="6" spans="1:28" ht="14.5" customHeight="1" x14ac:dyDescent="0.35">
      <c r="A6" s="3" t="s">
        <v>31</v>
      </c>
      <c r="B6" s="3" t="s">
        <v>0</v>
      </c>
      <c r="C6" s="3" t="s">
        <v>32</v>
      </c>
      <c r="D6" s="3" t="s">
        <v>1</v>
      </c>
      <c r="E6" s="3" t="s">
        <v>33</v>
      </c>
      <c r="F6" s="3" t="s">
        <v>2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43</v>
      </c>
      <c r="R6" s="3" t="s">
        <v>44</v>
      </c>
      <c r="S6" s="3" t="s">
        <v>45</v>
      </c>
      <c r="T6" s="3" t="s">
        <v>46</v>
      </c>
      <c r="U6" s="3" t="s">
        <v>4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</v>
      </c>
      <c r="AB6" s="3" t="s">
        <v>52</v>
      </c>
    </row>
    <row r="7" spans="1:28" x14ac:dyDescent="0.35">
      <c r="A7" s="3" t="s">
        <v>6</v>
      </c>
      <c r="B7" s="3" t="s">
        <v>7</v>
      </c>
      <c r="C7" s="3" t="s">
        <v>8</v>
      </c>
      <c r="D7" s="3" t="s">
        <v>1</v>
      </c>
      <c r="E7" s="3" t="s">
        <v>9</v>
      </c>
      <c r="F7" s="3" t="s">
        <v>10</v>
      </c>
      <c r="G7" s="3" t="s">
        <v>9</v>
      </c>
      <c r="H7" s="3" t="s">
        <v>11</v>
      </c>
      <c r="I7" s="3" t="s">
        <v>12</v>
      </c>
      <c r="J7" s="3" t="s">
        <v>9</v>
      </c>
      <c r="K7" s="3" t="s">
        <v>11</v>
      </c>
      <c r="L7" s="3" t="s">
        <v>13</v>
      </c>
      <c r="M7" s="3" t="s">
        <v>9</v>
      </c>
      <c r="N7" s="3" t="s">
        <v>11</v>
      </c>
      <c r="O7" s="3" t="s">
        <v>14</v>
      </c>
      <c r="P7" s="3" t="s">
        <v>9</v>
      </c>
      <c r="Q7" s="3" t="s">
        <v>11</v>
      </c>
      <c r="R7" s="3" t="s">
        <v>15</v>
      </c>
      <c r="S7" s="3" t="s">
        <v>9</v>
      </c>
      <c r="T7" s="3" t="s">
        <v>11</v>
      </c>
      <c r="U7" s="3" t="s">
        <v>16</v>
      </c>
      <c r="V7" s="3" t="s">
        <v>9</v>
      </c>
      <c r="W7" s="3" t="s">
        <v>11</v>
      </c>
      <c r="X7" s="3" t="s">
        <v>17</v>
      </c>
      <c r="Y7" s="3" t="s">
        <v>9</v>
      </c>
      <c r="Z7" s="3" t="s">
        <v>11</v>
      </c>
      <c r="AA7" s="3" t="s">
        <v>18</v>
      </c>
      <c r="AB7" s="3" t="s">
        <v>9</v>
      </c>
    </row>
    <row r="8" spans="1:28" x14ac:dyDescent="0.35">
      <c r="A8" s="2">
        <v>1</v>
      </c>
      <c r="B8" s="2">
        <v>2024</v>
      </c>
      <c r="C8" s="2" t="s">
        <v>19</v>
      </c>
      <c r="D8" s="4">
        <v>153033</v>
      </c>
      <c r="E8" s="5">
        <v>-5.1000000000000004E-3</v>
      </c>
      <c r="F8" s="4">
        <v>76632</v>
      </c>
      <c r="G8" s="5">
        <v>2.29E-2</v>
      </c>
      <c r="H8" s="5">
        <v>0.50080000000000002</v>
      </c>
      <c r="I8" s="4">
        <v>76401</v>
      </c>
      <c r="J8" s="5">
        <v>-3.1600000000000003E-2</v>
      </c>
      <c r="K8" s="5">
        <v>0.49919999999999998</v>
      </c>
      <c r="L8" s="4">
        <v>121051</v>
      </c>
      <c r="M8" s="5">
        <v>0.31969999999999998</v>
      </c>
      <c r="N8" s="5">
        <v>0.79100000000000004</v>
      </c>
      <c r="O8" s="4">
        <v>23762</v>
      </c>
      <c r="P8" s="5">
        <v>-0.39229999999999998</v>
      </c>
      <c r="Q8" s="5">
        <v>0.15529999999999999</v>
      </c>
      <c r="R8" s="4">
        <v>8220</v>
      </c>
      <c r="S8" s="5">
        <v>-0.64239999999999997</v>
      </c>
      <c r="T8" s="5">
        <v>5.3699999999999998E-2</v>
      </c>
      <c r="U8" s="4">
        <v>121327</v>
      </c>
      <c r="V8" s="5">
        <v>-0.104</v>
      </c>
      <c r="W8" s="5">
        <v>0.79279999999999995</v>
      </c>
      <c r="X8" s="4">
        <v>31706</v>
      </c>
      <c r="Y8" s="5">
        <v>0.72270000000000001</v>
      </c>
      <c r="Z8" s="5">
        <v>0.2072</v>
      </c>
      <c r="AA8" s="2">
        <v>902</v>
      </c>
      <c r="AB8" s="5">
        <v>0.16539999999999999</v>
      </c>
    </row>
    <row r="9" spans="1:28" x14ac:dyDescent="0.35">
      <c r="A9" s="2">
        <v>2</v>
      </c>
      <c r="B9" s="2">
        <v>2024</v>
      </c>
      <c r="C9" s="2" t="s">
        <v>20</v>
      </c>
      <c r="D9" s="4">
        <v>208537</v>
      </c>
      <c r="E9" s="5">
        <v>9.9099999999999994E-2</v>
      </c>
      <c r="F9" s="4">
        <v>104502</v>
      </c>
      <c r="G9" s="5">
        <v>0.13189999999999999</v>
      </c>
      <c r="H9" s="5">
        <v>0.50109999999999999</v>
      </c>
      <c r="I9" s="4">
        <v>104035</v>
      </c>
      <c r="J9" s="5">
        <v>6.8000000000000005E-2</v>
      </c>
      <c r="K9" s="5">
        <v>0.49890000000000001</v>
      </c>
      <c r="L9" s="4">
        <v>165552</v>
      </c>
      <c r="M9" s="5">
        <v>0.45040000000000002</v>
      </c>
      <c r="N9" s="5">
        <v>0.79390000000000005</v>
      </c>
      <c r="O9" s="4">
        <v>31920</v>
      </c>
      <c r="P9" s="5">
        <v>-0.3281</v>
      </c>
      <c r="Q9" s="5">
        <v>0.15310000000000001</v>
      </c>
      <c r="R9" s="4">
        <v>11065</v>
      </c>
      <c r="S9" s="5">
        <v>-0.60609999999999997</v>
      </c>
      <c r="T9" s="5">
        <v>5.3100000000000001E-2</v>
      </c>
      <c r="U9" s="4">
        <v>168604</v>
      </c>
      <c r="V9" s="5">
        <v>8.8999999999999999E-3</v>
      </c>
      <c r="W9" s="5">
        <v>0.8085</v>
      </c>
      <c r="X9" s="4">
        <v>39933</v>
      </c>
      <c r="Y9" s="5">
        <v>0.76480000000000004</v>
      </c>
      <c r="Z9" s="5">
        <v>0.1915</v>
      </c>
      <c r="AA9" s="4">
        <v>1706</v>
      </c>
      <c r="AB9" s="5">
        <v>0.83440000000000003</v>
      </c>
    </row>
    <row r="10" spans="1:28" x14ac:dyDescent="0.35">
      <c r="A10" s="2">
        <v>3</v>
      </c>
      <c r="B10" s="2">
        <v>2024</v>
      </c>
      <c r="C10" s="2" t="s">
        <v>21</v>
      </c>
      <c r="D10" s="4">
        <v>64779</v>
      </c>
      <c r="E10" s="5">
        <v>-0.13139999999999999</v>
      </c>
      <c r="F10" s="4">
        <v>32599</v>
      </c>
      <c r="G10" s="5">
        <v>-9.7600000000000006E-2</v>
      </c>
      <c r="H10" s="5">
        <v>0.50319999999999998</v>
      </c>
      <c r="I10" s="4">
        <v>32180</v>
      </c>
      <c r="J10" s="5">
        <v>-0.16309999999999999</v>
      </c>
      <c r="K10" s="5">
        <v>0.49680000000000002</v>
      </c>
      <c r="L10" s="4">
        <v>51992</v>
      </c>
      <c r="M10" s="5">
        <v>0.1784</v>
      </c>
      <c r="N10" s="5">
        <v>0.80259999999999998</v>
      </c>
      <c r="O10" s="4">
        <v>9365</v>
      </c>
      <c r="P10" s="5">
        <v>-0.50939999999999996</v>
      </c>
      <c r="Q10" s="5">
        <v>0.14460000000000001</v>
      </c>
      <c r="R10" s="4">
        <v>3422</v>
      </c>
      <c r="S10" s="5">
        <v>-0.69899999999999995</v>
      </c>
      <c r="T10" s="5">
        <v>5.28E-2</v>
      </c>
      <c r="U10" s="4">
        <v>52941</v>
      </c>
      <c r="V10" s="5">
        <v>-0.1988</v>
      </c>
      <c r="W10" s="5">
        <v>0.81730000000000003</v>
      </c>
      <c r="X10" s="4">
        <v>11838</v>
      </c>
      <c r="Y10" s="5">
        <v>0.39250000000000002</v>
      </c>
      <c r="Z10" s="5">
        <v>0.1827</v>
      </c>
      <c r="AA10" s="2">
        <v>523</v>
      </c>
      <c r="AB10" s="5">
        <v>0.38729999999999998</v>
      </c>
    </row>
    <row r="11" spans="1:28" x14ac:dyDescent="0.35">
      <c r="A11" s="2">
        <v>4</v>
      </c>
      <c r="B11" s="2">
        <v>2024</v>
      </c>
      <c r="C11" s="2" t="s">
        <v>22</v>
      </c>
      <c r="D11" s="4">
        <v>33488</v>
      </c>
      <c r="E11" s="5">
        <v>-0.34160000000000001</v>
      </c>
      <c r="F11" s="4">
        <v>16929</v>
      </c>
      <c r="G11" s="5">
        <v>-0.31090000000000001</v>
      </c>
      <c r="H11" s="5">
        <v>0.50549999999999995</v>
      </c>
      <c r="I11" s="4">
        <v>16559</v>
      </c>
      <c r="J11" s="5">
        <v>-0.37040000000000001</v>
      </c>
      <c r="K11" s="5">
        <v>0.4945</v>
      </c>
      <c r="L11" s="4">
        <v>27479</v>
      </c>
      <c r="M11" s="5">
        <v>-8.8900000000000007E-2</v>
      </c>
      <c r="N11" s="5">
        <v>0.8206</v>
      </c>
      <c r="O11" s="4">
        <v>4471</v>
      </c>
      <c r="P11" s="5">
        <v>-0.65500000000000003</v>
      </c>
      <c r="Q11" s="5">
        <v>0.13350000000000001</v>
      </c>
      <c r="R11" s="4">
        <v>1538</v>
      </c>
      <c r="S11" s="5">
        <v>-0.80149999999999999</v>
      </c>
      <c r="T11" s="5">
        <v>4.5900000000000003E-2</v>
      </c>
      <c r="U11" s="4">
        <v>27720</v>
      </c>
      <c r="V11" s="5">
        <v>-0.38640000000000002</v>
      </c>
      <c r="W11" s="5">
        <v>0.82779999999999998</v>
      </c>
      <c r="X11" s="4">
        <v>5768</v>
      </c>
      <c r="Y11" s="5">
        <v>1.4200000000000001E-2</v>
      </c>
      <c r="Z11" s="5">
        <v>0.17219999999999999</v>
      </c>
      <c r="AA11" s="2">
        <v>270</v>
      </c>
      <c r="AB11" s="5">
        <v>7.1400000000000005E-2</v>
      </c>
    </row>
    <row r="12" spans="1:28" x14ac:dyDescent="0.35">
      <c r="A12" s="2">
        <v>5</v>
      </c>
      <c r="B12" s="2">
        <v>2024</v>
      </c>
      <c r="C12" s="2" t="s">
        <v>23</v>
      </c>
      <c r="D12" s="4">
        <v>31650</v>
      </c>
      <c r="E12" s="5">
        <v>0.16889999999999999</v>
      </c>
      <c r="F12" s="4">
        <v>16020</v>
      </c>
      <c r="G12" s="5">
        <v>0.2366</v>
      </c>
      <c r="H12" s="5">
        <v>0.50619999999999998</v>
      </c>
      <c r="I12" s="4">
        <v>15630</v>
      </c>
      <c r="J12" s="5">
        <v>0.10680000000000001</v>
      </c>
      <c r="K12" s="5">
        <v>0.49380000000000002</v>
      </c>
      <c r="L12" s="4">
        <v>26062</v>
      </c>
      <c r="M12" s="5">
        <v>0.59309999999999996</v>
      </c>
      <c r="N12" s="5">
        <v>0.82340000000000002</v>
      </c>
      <c r="O12" s="4">
        <v>4164</v>
      </c>
      <c r="P12" s="5">
        <v>-0.36830000000000002</v>
      </c>
      <c r="Q12" s="5">
        <v>0.13159999999999999</v>
      </c>
      <c r="R12" s="4">
        <v>1424</v>
      </c>
      <c r="S12" s="5">
        <v>-0.65490000000000004</v>
      </c>
      <c r="T12" s="5">
        <v>4.4999999999999998E-2</v>
      </c>
      <c r="U12" s="4">
        <v>26176</v>
      </c>
      <c r="V12" s="5">
        <v>8.4900000000000003E-2</v>
      </c>
      <c r="W12" s="5">
        <v>0.82699999999999996</v>
      </c>
      <c r="X12" s="4">
        <v>5474</v>
      </c>
      <c r="Y12" s="5">
        <v>0.85619999999999996</v>
      </c>
      <c r="Z12" s="5">
        <v>0.17299999999999999</v>
      </c>
      <c r="AA12" s="2">
        <v>256</v>
      </c>
      <c r="AB12" s="5">
        <v>1.0812999999999999</v>
      </c>
    </row>
    <row r="13" spans="1:28" x14ac:dyDescent="0.35">
      <c r="A13" s="2">
        <v>6</v>
      </c>
      <c r="B13" s="2">
        <v>2024</v>
      </c>
      <c r="C13" s="2" t="s">
        <v>24</v>
      </c>
      <c r="D13" s="4">
        <v>38671</v>
      </c>
      <c r="E13" s="5">
        <v>0.3226</v>
      </c>
      <c r="F13" s="4">
        <v>19523</v>
      </c>
      <c r="G13" s="5">
        <v>0.39050000000000001</v>
      </c>
      <c r="H13" s="5">
        <v>0.50480000000000003</v>
      </c>
      <c r="I13" s="4">
        <v>19148</v>
      </c>
      <c r="J13" s="5">
        <v>0.25979999999999998</v>
      </c>
      <c r="K13" s="5">
        <v>0.49519999999999997</v>
      </c>
      <c r="L13" s="4">
        <v>31626</v>
      </c>
      <c r="M13" s="5">
        <v>0.82010000000000005</v>
      </c>
      <c r="N13" s="5">
        <v>0.81779999999999997</v>
      </c>
      <c r="O13" s="4">
        <v>5277</v>
      </c>
      <c r="P13" s="5">
        <v>-0.27939999999999998</v>
      </c>
      <c r="Q13" s="5">
        <v>0.13650000000000001</v>
      </c>
      <c r="R13" s="4">
        <v>1768</v>
      </c>
      <c r="S13" s="5">
        <v>-0.61060000000000003</v>
      </c>
      <c r="T13" s="5">
        <v>4.5699999999999998E-2</v>
      </c>
      <c r="U13" s="4">
        <v>31824</v>
      </c>
      <c r="V13" s="5">
        <v>0.2218</v>
      </c>
      <c r="W13" s="5">
        <v>0.82289999999999996</v>
      </c>
      <c r="X13" s="4">
        <v>6847</v>
      </c>
      <c r="Y13" s="5">
        <v>1.1451</v>
      </c>
      <c r="Z13" s="5">
        <v>0.17710000000000001</v>
      </c>
      <c r="AA13" s="2">
        <v>316</v>
      </c>
      <c r="AB13" s="5">
        <v>1.2734000000000001</v>
      </c>
    </row>
    <row r="14" spans="1:28" x14ac:dyDescent="0.35">
      <c r="A14" s="2">
        <v>7</v>
      </c>
      <c r="B14" s="2">
        <v>2024</v>
      </c>
      <c r="C14" s="2" t="s">
        <v>25</v>
      </c>
      <c r="D14" s="4">
        <v>62261</v>
      </c>
      <c r="E14" s="5">
        <v>-0.1368</v>
      </c>
      <c r="F14" s="4">
        <v>31210</v>
      </c>
      <c r="G14" s="5">
        <v>-0.1027</v>
      </c>
      <c r="H14" s="5">
        <v>0.50129999999999997</v>
      </c>
      <c r="I14" s="4">
        <v>31051</v>
      </c>
      <c r="J14" s="5">
        <v>-0.16850000000000001</v>
      </c>
      <c r="K14" s="5">
        <v>0.49869999999999998</v>
      </c>
      <c r="L14" s="4">
        <v>53880</v>
      </c>
      <c r="M14" s="5">
        <v>0.28520000000000001</v>
      </c>
      <c r="N14" s="5">
        <v>0.86539999999999995</v>
      </c>
      <c r="O14" s="4">
        <v>7792</v>
      </c>
      <c r="P14" s="5">
        <v>-0.58399999999999996</v>
      </c>
      <c r="Q14" s="5">
        <v>0.12520000000000001</v>
      </c>
      <c r="R14" s="2">
        <v>589</v>
      </c>
      <c r="S14" s="5">
        <v>-0.9486</v>
      </c>
      <c r="T14" s="5">
        <v>9.4999999999999998E-3</v>
      </c>
      <c r="U14" s="4">
        <v>53143</v>
      </c>
      <c r="V14" s="5">
        <v>-0.1711</v>
      </c>
      <c r="W14" s="5">
        <v>0.85360000000000003</v>
      </c>
      <c r="X14" s="4">
        <v>9118</v>
      </c>
      <c r="Y14" s="5">
        <v>0.13719999999999999</v>
      </c>
      <c r="Z14" s="5">
        <v>0.1464</v>
      </c>
      <c r="AA14" s="2">
        <v>593</v>
      </c>
      <c r="AB14" s="5">
        <v>0.59409999999999996</v>
      </c>
    </row>
    <row r="15" spans="1:28" x14ac:dyDescent="0.35">
      <c r="A15" s="2">
        <v>8</v>
      </c>
      <c r="B15" s="2">
        <v>2024</v>
      </c>
      <c r="C15" s="2" t="s">
        <v>26</v>
      </c>
      <c r="D15" s="4">
        <v>40685</v>
      </c>
      <c r="E15" s="5">
        <v>-5.0200000000000002E-2</v>
      </c>
      <c r="F15" s="4">
        <v>20418</v>
      </c>
      <c r="G15" s="5">
        <v>-1.1299999999999999E-2</v>
      </c>
      <c r="H15" s="5">
        <v>0.50190000000000001</v>
      </c>
      <c r="I15" s="4">
        <v>20267</v>
      </c>
      <c r="J15" s="5">
        <v>-8.6400000000000005E-2</v>
      </c>
      <c r="K15" s="5">
        <v>0.49809999999999999</v>
      </c>
      <c r="L15" s="4">
        <v>34718</v>
      </c>
      <c r="M15" s="5">
        <v>0.38719999999999999</v>
      </c>
      <c r="N15" s="5">
        <v>0.85329999999999995</v>
      </c>
      <c r="O15" s="4">
        <v>5212</v>
      </c>
      <c r="P15" s="5">
        <v>-0.52880000000000005</v>
      </c>
      <c r="Q15" s="5">
        <v>0.12809999999999999</v>
      </c>
      <c r="R15" s="2">
        <v>755</v>
      </c>
      <c r="S15" s="5">
        <v>-0.8881</v>
      </c>
      <c r="T15" s="5">
        <v>1.8599999999999998E-2</v>
      </c>
      <c r="U15" s="4">
        <v>34316</v>
      </c>
      <c r="V15" s="5">
        <v>-9.9000000000000005E-2</v>
      </c>
      <c r="W15" s="5">
        <v>0.84350000000000003</v>
      </c>
      <c r="X15" s="4">
        <v>6369</v>
      </c>
      <c r="Y15" s="5">
        <v>0.34139999999999998</v>
      </c>
      <c r="Z15" s="5">
        <v>0.1565</v>
      </c>
      <c r="AA15" s="2">
        <v>368</v>
      </c>
      <c r="AB15" s="5">
        <v>0.67269999999999996</v>
      </c>
    </row>
    <row r="16" spans="1:28" x14ac:dyDescent="0.35">
      <c r="A16" s="2">
        <v>9</v>
      </c>
      <c r="B16" s="2">
        <v>2024</v>
      </c>
      <c r="C16" s="2" t="s">
        <v>27</v>
      </c>
      <c r="D16" s="4">
        <v>40196</v>
      </c>
      <c r="E16" s="5">
        <v>-0.1086</v>
      </c>
      <c r="F16" s="4">
        <v>19690</v>
      </c>
      <c r="G16" s="5">
        <v>-9.5299999999999996E-2</v>
      </c>
      <c r="H16" s="5">
        <v>0.48980000000000001</v>
      </c>
      <c r="I16" s="4">
        <v>20506</v>
      </c>
      <c r="J16" s="5">
        <v>-0.121</v>
      </c>
      <c r="K16" s="5">
        <v>0.51019999999999999</v>
      </c>
      <c r="L16" s="4">
        <v>35097</v>
      </c>
      <c r="M16" s="5">
        <v>0.33650000000000002</v>
      </c>
      <c r="N16" s="5">
        <v>0.87309999999999999</v>
      </c>
      <c r="O16" s="4">
        <v>3418</v>
      </c>
      <c r="P16" s="5">
        <v>-0.70830000000000004</v>
      </c>
      <c r="Q16" s="5">
        <v>8.5000000000000006E-2</v>
      </c>
      <c r="R16" s="4">
        <v>1681</v>
      </c>
      <c r="S16" s="5">
        <v>-0.76370000000000005</v>
      </c>
      <c r="T16" s="5">
        <v>4.1799999999999997E-2</v>
      </c>
      <c r="U16" s="4">
        <v>33435</v>
      </c>
      <c r="V16" s="5">
        <v>-0.16569999999999999</v>
      </c>
      <c r="W16" s="5">
        <v>0.83179999999999998</v>
      </c>
      <c r="X16" s="4">
        <v>6761</v>
      </c>
      <c r="Y16" s="5">
        <v>0.3468</v>
      </c>
      <c r="Z16" s="5">
        <v>0.16819999999999999</v>
      </c>
      <c r="AA16" s="2">
        <v>780</v>
      </c>
      <c r="AB16" s="5">
        <v>2.3475999999999999</v>
      </c>
    </row>
    <row r="17" spans="1:28" x14ac:dyDescent="0.35">
      <c r="A17" s="2">
        <v>10</v>
      </c>
      <c r="B17" s="2">
        <v>2024</v>
      </c>
      <c r="C17" s="2" t="s">
        <v>28</v>
      </c>
      <c r="D17" s="4">
        <v>49461</v>
      </c>
      <c r="E17" s="5">
        <v>-7.3800000000000004E-2</v>
      </c>
      <c r="F17" s="4">
        <v>22452</v>
      </c>
      <c r="G17" s="5">
        <v>-0.1288</v>
      </c>
      <c r="H17" s="5">
        <v>0.45390000000000003</v>
      </c>
      <c r="I17" s="4">
        <v>27009</v>
      </c>
      <c r="J17" s="5">
        <v>-2.2499999999999999E-2</v>
      </c>
      <c r="K17" s="5">
        <v>0.54610000000000003</v>
      </c>
      <c r="L17" s="4">
        <v>27117</v>
      </c>
      <c r="M17" s="5">
        <v>-0.14879999999999999</v>
      </c>
      <c r="N17" s="5">
        <v>0.54830000000000001</v>
      </c>
      <c r="O17" s="4">
        <v>19036</v>
      </c>
      <c r="P17" s="5">
        <v>0.39560000000000001</v>
      </c>
      <c r="Q17" s="5">
        <v>0.38490000000000002</v>
      </c>
      <c r="R17" s="4">
        <v>3308</v>
      </c>
      <c r="S17" s="5">
        <v>-0.58150000000000002</v>
      </c>
      <c r="T17" s="5">
        <v>6.6900000000000001E-2</v>
      </c>
      <c r="U17" s="4">
        <v>38405</v>
      </c>
      <c r="V17" s="5">
        <v>-0.19109999999999999</v>
      </c>
      <c r="W17" s="5">
        <v>0.77649999999999997</v>
      </c>
      <c r="X17" s="4">
        <v>11056</v>
      </c>
      <c r="Y17" s="5">
        <v>0.86660000000000004</v>
      </c>
      <c r="Z17" s="5">
        <v>0.2235</v>
      </c>
      <c r="AA17" s="2">
        <v>294</v>
      </c>
      <c r="AB17" s="5">
        <v>6.5199999999999994E-2</v>
      </c>
    </row>
    <row r="18" spans="1:28" x14ac:dyDescent="0.35">
      <c r="A18" s="2">
        <v>11</v>
      </c>
      <c r="B18" s="2">
        <v>2024</v>
      </c>
      <c r="C18" s="2" t="s">
        <v>29</v>
      </c>
      <c r="D18" s="4">
        <v>56338</v>
      </c>
      <c r="E18" s="5">
        <v>1.0500000000000001E-2</v>
      </c>
      <c r="F18" s="4">
        <v>26325</v>
      </c>
      <c r="G18" s="5">
        <v>-2.7199999999999998E-2</v>
      </c>
      <c r="H18" s="5">
        <v>0.46729999999999999</v>
      </c>
      <c r="I18" s="4">
        <v>30013</v>
      </c>
      <c r="J18" s="5">
        <v>4.6199999999999998E-2</v>
      </c>
      <c r="K18" s="5">
        <v>0.53269999999999995</v>
      </c>
      <c r="L18" s="4">
        <v>30849</v>
      </c>
      <c r="M18" s="5">
        <v>7.8200000000000006E-2</v>
      </c>
      <c r="N18" s="5">
        <v>0.54759999999999998</v>
      </c>
      <c r="O18" s="4">
        <v>11272</v>
      </c>
      <c r="P18" s="5">
        <v>-0.26490000000000002</v>
      </c>
      <c r="Q18" s="5">
        <v>0.2001</v>
      </c>
      <c r="R18" s="4">
        <v>14217</v>
      </c>
      <c r="S18" s="5">
        <v>0.2044</v>
      </c>
      <c r="T18" s="5">
        <v>0.25240000000000001</v>
      </c>
      <c r="U18" s="4">
        <v>39549</v>
      </c>
      <c r="V18" s="5">
        <v>-0.1447</v>
      </c>
      <c r="W18" s="5">
        <v>0.70199999999999996</v>
      </c>
      <c r="X18" s="4">
        <v>16789</v>
      </c>
      <c r="Y18" s="5">
        <v>0.76580000000000004</v>
      </c>
      <c r="Z18" s="5">
        <v>0.29799999999999999</v>
      </c>
      <c r="AA18" s="2">
        <v>358</v>
      </c>
      <c r="AB18" s="5">
        <v>-0.39419999999999999</v>
      </c>
    </row>
    <row r="19" spans="1:28" x14ac:dyDescent="0.35">
      <c r="A19" s="2">
        <v>12</v>
      </c>
      <c r="B19" s="2">
        <v>2024</v>
      </c>
      <c r="C19" s="2" t="s">
        <v>30</v>
      </c>
      <c r="D19" s="4">
        <v>70714</v>
      </c>
      <c r="E19" s="5">
        <v>-0.1585</v>
      </c>
      <c r="F19" s="4">
        <v>34811</v>
      </c>
      <c r="G19" s="5">
        <v>-0.1457</v>
      </c>
      <c r="H19" s="5">
        <v>0.49230000000000002</v>
      </c>
      <c r="I19" s="4">
        <v>35903</v>
      </c>
      <c r="J19" s="5">
        <v>-0.1706</v>
      </c>
      <c r="K19" s="5">
        <v>0.50770000000000004</v>
      </c>
      <c r="L19" s="4">
        <v>38446</v>
      </c>
      <c r="M19" s="5">
        <v>-8.9200000000000002E-2</v>
      </c>
      <c r="N19" s="5">
        <v>0.54369999999999996</v>
      </c>
      <c r="O19" s="4">
        <v>17288</v>
      </c>
      <c r="P19" s="5">
        <v>-0.33900000000000002</v>
      </c>
      <c r="Q19" s="5">
        <v>0.2445</v>
      </c>
      <c r="R19" s="4">
        <v>14980</v>
      </c>
      <c r="S19" s="5">
        <v>-4.41E-2</v>
      </c>
      <c r="T19" s="5">
        <v>0.21179999999999999</v>
      </c>
      <c r="U19" s="4">
        <v>50203</v>
      </c>
      <c r="V19" s="5">
        <v>-0.2732</v>
      </c>
      <c r="W19" s="5">
        <v>0.70989999999999998</v>
      </c>
      <c r="X19" s="4">
        <v>20511</v>
      </c>
      <c r="Y19" s="5">
        <v>0.37109999999999999</v>
      </c>
      <c r="Z19" s="5">
        <v>0.29010000000000002</v>
      </c>
      <c r="AA19" s="2">
        <v>335</v>
      </c>
      <c r="AB19" s="5">
        <v>-0.50370000000000004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524F-9CA3-4427-BA6F-E160596756E3}">
  <sheetPr codeName="Hoja1"/>
  <dimension ref="A1:Q13"/>
  <sheetViews>
    <sheetView topLeftCell="D1" workbookViewId="0">
      <selection activeCell="L1" activeCellId="3" sqref="A1:A1048576 H1:H1048576 J1:J1048576 L1:L1048576"/>
    </sheetView>
  </sheetViews>
  <sheetFormatPr baseColWidth="10" defaultRowHeight="14.5" x14ac:dyDescent="0.35"/>
  <cols>
    <col min="2" max="2" width="13.1796875" bestFit="1" customWidth="1"/>
    <col min="3" max="3" width="10.6328125" bestFit="1" customWidth="1"/>
    <col min="4" max="4" width="14.90625" style="8" bestFit="1" customWidth="1"/>
    <col min="5" max="5" width="9.7265625" bestFit="1" customWidth="1"/>
    <col min="6" max="6" width="14" style="8" bestFit="1" customWidth="1"/>
    <col min="7" max="7" width="8.54296875" bestFit="1" customWidth="1"/>
    <col min="8" max="8" width="13.7265625" style="8" bestFit="1" customWidth="1"/>
    <col min="9" max="9" width="8.26953125" bestFit="1" customWidth="1"/>
    <col min="10" max="10" width="12.54296875" style="8" bestFit="1" customWidth="1"/>
    <col min="11" max="11" width="13.90625" bestFit="1" customWidth="1"/>
    <col min="12" max="12" width="18.26953125" style="8" bestFit="1" customWidth="1"/>
    <col min="13" max="13" width="9.6328125" bestFit="1" customWidth="1"/>
    <col min="14" max="14" width="13.90625" style="8" bestFit="1" customWidth="1"/>
    <col min="15" max="15" width="11.54296875" bestFit="1" customWidth="1"/>
    <col min="16" max="16" width="15.81640625" style="8" bestFit="1" customWidth="1"/>
    <col min="17" max="17" width="25.36328125" bestFit="1" customWidth="1"/>
  </cols>
  <sheetData>
    <row r="1" spans="1:17" x14ac:dyDescent="0.35">
      <c r="A1" t="s">
        <v>53</v>
      </c>
      <c r="B1" t="s">
        <v>54</v>
      </c>
      <c r="C1" t="s">
        <v>10</v>
      </c>
      <c r="D1" s="8" t="s">
        <v>55</v>
      </c>
      <c r="E1" t="s">
        <v>12</v>
      </c>
      <c r="F1" s="8" t="s">
        <v>56</v>
      </c>
      <c r="G1" t="s">
        <v>13</v>
      </c>
      <c r="H1" s="8" t="s">
        <v>57</v>
      </c>
      <c r="I1" t="s">
        <v>14</v>
      </c>
      <c r="J1" s="8" t="s">
        <v>58</v>
      </c>
      <c r="K1" t="s">
        <v>15</v>
      </c>
      <c r="L1" s="8" t="s">
        <v>59</v>
      </c>
      <c r="M1" t="s">
        <v>16</v>
      </c>
      <c r="N1" s="8" t="s">
        <v>60</v>
      </c>
      <c r="O1" t="s">
        <v>17</v>
      </c>
      <c r="P1" s="8" t="s">
        <v>61</v>
      </c>
      <c r="Q1" t="s">
        <v>18</v>
      </c>
    </row>
    <row r="2" spans="1:17" x14ac:dyDescent="0.35">
      <c r="A2" t="s">
        <v>19</v>
      </c>
      <c r="B2">
        <v>153033</v>
      </c>
      <c r="C2">
        <v>76632</v>
      </c>
      <c r="D2" s="8">
        <v>0.50080000000000002</v>
      </c>
      <c r="E2">
        <v>76401</v>
      </c>
      <c r="F2" s="8">
        <v>0.49919999999999998</v>
      </c>
      <c r="G2">
        <v>121051</v>
      </c>
      <c r="H2" s="8">
        <v>0.79100000000000004</v>
      </c>
      <c r="I2">
        <v>23762</v>
      </c>
      <c r="J2" s="8">
        <v>0.15529999999999999</v>
      </c>
      <c r="K2">
        <v>8220</v>
      </c>
      <c r="L2" s="8">
        <v>5.3699999999999998E-2</v>
      </c>
      <c r="M2">
        <v>121327</v>
      </c>
      <c r="N2" s="8">
        <v>0.79279999999999995</v>
      </c>
      <c r="O2">
        <v>31706</v>
      </c>
      <c r="P2" s="8">
        <v>0.2072</v>
      </c>
      <c r="Q2">
        <v>902</v>
      </c>
    </row>
    <row r="3" spans="1:17" x14ac:dyDescent="0.35">
      <c r="A3" t="s">
        <v>20</v>
      </c>
      <c r="B3">
        <v>208537</v>
      </c>
      <c r="C3">
        <v>104502</v>
      </c>
      <c r="D3" s="8">
        <v>0.50109999999999999</v>
      </c>
      <c r="E3">
        <v>104035</v>
      </c>
      <c r="F3" s="8">
        <v>0.49890000000000001</v>
      </c>
      <c r="G3">
        <v>165552</v>
      </c>
      <c r="H3" s="8">
        <v>0.79390000000000005</v>
      </c>
      <c r="I3">
        <v>31920</v>
      </c>
      <c r="J3" s="8">
        <v>0.15310000000000001</v>
      </c>
      <c r="K3">
        <v>11065</v>
      </c>
      <c r="L3" s="8">
        <v>5.3100000000000001E-2</v>
      </c>
      <c r="M3">
        <v>168604</v>
      </c>
      <c r="N3" s="8">
        <v>0.8085</v>
      </c>
      <c r="O3">
        <v>39933</v>
      </c>
      <c r="P3" s="8">
        <v>0.1915</v>
      </c>
      <c r="Q3">
        <v>1706</v>
      </c>
    </row>
    <row r="4" spans="1:17" x14ac:dyDescent="0.35">
      <c r="A4" t="s">
        <v>21</v>
      </c>
      <c r="B4">
        <v>64779</v>
      </c>
      <c r="C4">
        <v>32599</v>
      </c>
      <c r="D4" s="8">
        <v>0.50319999999999998</v>
      </c>
      <c r="E4">
        <v>32180</v>
      </c>
      <c r="F4" s="8">
        <v>0.49680000000000002</v>
      </c>
      <c r="G4">
        <v>51992</v>
      </c>
      <c r="H4" s="8">
        <v>0.80259999999999998</v>
      </c>
      <c r="I4">
        <v>9365</v>
      </c>
      <c r="J4" s="8">
        <v>0.14460000000000001</v>
      </c>
      <c r="K4">
        <v>3422</v>
      </c>
      <c r="L4" s="8">
        <v>5.28E-2</v>
      </c>
      <c r="M4">
        <v>52941</v>
      </c>
      <c r="N4" s="8">
        <v>0.81730000000000003</v>
      </c>
      <c r="O4">
        <v>11838</v>
      </c>
      <c r="P4" s="8">
        <v>0.1827</v>
      </c>
      <c r="Q4">
        <v>523</v>
      </c>
    </row>
    <row r="5" spans="1:17" x14ac:dyDescent="0.35">
      <c r="A5" t="s">
        <v>22</v>
      </c>
      <c r="B5">
        <v>33488</v>
      </c>
      <c r="C5">
        <v>16929</v>
      </c>
      <c r="D5" s="8">
        <v>0.50549999999999995</v>
      </c>
      <c r="E5">
        <v>16559</v>
      </c>
      <c r="F5" s="8">
        <v>0.4945</v>
      </c>
      <c r="G5">
        <v>27479</v>
      </c>
      <c r="H5" s="8">
        <v>0.8206</v>
      </c>
      <c r="I5">
        <v>4471</v>
      </c>
      <c r="J5" s="8">
        <v>0.13350000000000001</v>
      </c>
      <c r="K5">
        <v>1538</v>
      </c>
      <c r="L5" s="8">
        <v>4.5900000000000003E-2</v>
      </c>
      <c r="M5">
        <v>27720</v>
      </c>
      <c r="N5" s="8">
        <v>0.82779999999999998</v>
      </c>
      <c r="O5">
        <v>5768</v>
      </c>
      <c r="P5" s="8">
        <v>0.17219999999999999</v>
      </c>
      <c r="Q5">
        <v>270</v>
      </c>
    </row>
    <row r="6" spans="1:17" x14ac:dyDescent="0.35">
      <c r="A6" t="s">
        <v>23</v>
      </c>
      <c r="B6">
        <v>31650</v>
      </c>
      <c r="C6">
        <v>16020</v>
      </c>
      <c r="D6" s="8">
        <v>0.50619999999999998</v>
      </c>
      <c r="E6">
        <v>15630</v>
      </c>
      <c r="F6" s="8">
        <v>0.49380000000000002</v>
      </c>
      <c r="G6">
        <v>26062</v>
      </c>
      <c r="H6" s="8">
        <v>0.82340000000000002</v>
      </c>
      <c r="I6">
        <v>4164</v>
      </c>
      <c r="J6" s="8">
        <v>0.13159999999999999</v>
      </c>
      <c r="K6">
        <v>1424</v>
      </c>
      <c r="L6" s="8">
        <v>4.4999999999999998E-2</v>
      </c>
      <c r="M6">
        <v>26176</v>
      </c>
      <c r="N6" s="8">
        <v>0.82699999999999996</v>
      </c>
      <c r="O6">
        <v>5474</v>
      </c>
      <c r="P6" s="8">
        <v>0.17299999999999999</v>
      </c>
      <c r="Q6">
        <v>256</v>
      </c>
    </row>
    <row r="7" spans="1:17" x14ac:dyDescent="0.35">
      <c r="A7" t="s">
        <v>24</v>
      </c>
      <c r="B7">
        <v>38671</v>
      </c>
      <c r="C7">
        <v>19523</v>
      </c>
      <c r="D7" s="8">
        <v>0.50480000000000003</v>
      </c>
      <c r="E7">
        <v>19148</v>
      </c>
      <c r="F7" s="8">
        <v>0.49519999999999997</v>
      </c>
      <c r="G7">
        <v>31626</v>
      </c>
      <c r="H7" s="8">
        <v>0.81779999999999997</v>
      </c>
      <c r="I7">
        <v>5277</v>
      </c>
      <c r="J7" s="8">
        <v>0.13650000000000001</v>
      </c>
      <c r="K7">
        <v>1768</v>
      </c>
      <c r="L7" s="8">
        <v>4.5699999999999998E-2</v>
      </c>
      <c r="M7">
        <v>31824</v>
      </c>
      <c r="N7" s="8">
        <v>0.82289999999999996</v>
      </c>
      <c r="O7">
        <v>6847</v>
      </c>
      <c r="P7" s="8">
        <v>0.17710000000000001</v>
      </c>
      <c r="Q7">
        <v>316</v>
      </c>
    </row>
    <row r="8" spans="1:17" x14ac:dyDescent="0.35">
      <c r="A8" t="s">
        <v>25</v>
      </c>
      <c r="B8">
        <v>62261</v>
      </c>
      <c r="C8">
        <v>31210</v>
      </c>
      <c r="D8" s="8">
        <v>0.50129999999999997</v>
      </c>
      <c r="E8">
        <v>31051</v>
      </c>
      <c r="F8" s="8">
        <v>0.49869999999999998</v>
      </c>
      <c r="G8">
        <v>53880</v>
      </c>
      <c r="H8" s="8">
        <v>0.86539999999999995</v>
      </c>
      <c r="I8">
        <v>7792</v>
      </c>
      <c r="J8" s="8">
        <v>0.12520000000000001</v>
      </c>
      <c r="K8">
        <v>589</v>
      </c>
      <c r="L8" s="8">
        <v>9.4999999999999998E-3</v>
      </c>
      <c r="M8">
        <v>53143</v>
      </c>
      <c r="N8" s="8">
        <v>0.85360000000000003</v>
      </c>
      <c r="O8">
        <v>9118</v>
      </c>
      <c r="P8" s="8">
        <v>0.1464</v>
      </c>
      <c r="Q8">
        <v>593</v>
      </c>
    </row>
    <row r="9" spans="1:17" x14ac:dyDescent="0.35">
      <c r="A9" t="s">
        <v>26</v>
      </c>
      <c r="B9">
        <v>40685</v>
      </c>
      <c r="C9">
        <v>20418</v>
      </c>
      <c r="D9" s="8">
        <v>0.50190000000000001</v>
      </c>
      <c r="E9">
        <v>20267</v>
      </c>
      <c r="F9" s="8">
        <v>0.49809999999999999</v>
      </c>
      <c r="G9">
        <v>34718</v>
      </c>
      <c r="H9" s="8">
        <v>0.85329999999999995</v>
      </c>
      <c r="I9">
        <v>5212</v>
      </c>
      <c r="J9" s="8">
        <v>0.12809999999999999</v>
      </c>
      <c r="K9">
        <v>755</v>
      </c>
      <c r="L9" s="8">
        <v>1.8599999999999998E-2</v>
      </c>
      <c r="M9">
        <v>34316</v>
      </c>
      <c r="N9" s="8">
        <v>0.84350000000000003</v>
      </c>
      <c r="O9">
        <v>6369</v>
      </c>
      <c r="P9" s="8">
        <v>0.1565</v>
      </c>
      <c r="Q9">
        <v>368</v>
      </c>
    </row>
    <row r="10" spans="1:17" x14ac:dyDescent="0.35">
      <c r="A10" t="s">
        <v>27</v>
      </c>
      <c r="B10">
        <v>40196</v>
      </c>
      <c r="C10">
        <v>19690</v>
      </c>
      <c r="D10" s="8">
        <v>0.48980000000000001</v>
      </c>
      <c r="E10">
        <v>20506</v>
      </c>
      <c r="F10" s="8">
        <v>0.51019999999999999</v>
      </c>
      <c r="G10">
        <v>35097</v>
      </c>
      <c r="H10" s="8">
        <v>0.87309999999999999</v>
      </c>
      <c r="I10">
        <v>3418</v>
      </c>
      <c r="J10" s="8">
        <v>8.5000000000000006E-2</v>
      </c>
      <c r="K10">
        <v>1681</v>
      </c>
      <c r="L10" s="8">
        <v>4.1799999999999997E-2</v>
      </c>
      <c r="M10">
        <v>33435</v>
      </c>
      <c r="N10" s="8">
        <v>0.83179999999999998</v>
      </c>
      <c r="O10">
        <v>6761</v>
      </c>
      <c r="P10" s="8">
        <v>0.16819999999999999</v>
      </c>
      <c r="Q10">
        <v>780</v>
      </c>
    </row>
    <row r="11" spans="1:17" x14ac:dyDescent="0.35">
      <c r="A11" t="s">
        <v>28</v>
      </c>
      <c r="B11">
        <v>49461</v>
      </c>
      <c r="C11">
        <v>22452</v>
      </c>
      <c r="D11" s="8">
        <v>0.45390000000000003</v>
      </c>
      <c r="E11">
        <v>27009</v>
      </c>
      <c r="F11" s="8">
        <v>0.54610000000000003</v>
      </c>
      <c r="G11">
        <v>27117</v>
      </c>
      <c r="H11" s="8">
        <v>0.54830000000000001</v>
      </c>
      <c r="I11">
        <v>19036</v>
      </c>
      <c r="J11" s="8">
        <v>0.38490000000000002</v>
      </c>
      <c r="K11">
        <v>3308</v>
      </c>
      <c r="L11" s="8">
        <v>6.6900000000000001E-2</v>
      </c>
      <c r="M11">
        <v>38405</v>
      </c>
      <c r="N11" s="8">
        <v>0.77649999999999997</v>
      </c>
      <c r="O11">
        <v>11056</v>
      </c>
      <c r="P11" s="8">
        <v>0.2235</v>
      </c>
      <c r="Q11">
        <v>294</v>
      </c>
    </row>
    <row r="12" spans="1:17" x14ac:dyDescent="0.35">
      <c r="A12" t="s">
        <v>29</v>
      </c>
      <c r="B12">
        <v>56338</v>
      </c>
      <c r="C12">
        <v>26325</v>
      </c>
      <c r="D12" s="8">
        <v>0.46729999999999999</v>
      </c>
      <c r="E12">
        <v>30013</v>
      </c>
      <c r="F12" s="8">
        <v>0.53269999999999995</v>
      </c>
      <c r="G12">
        <v>30849</v>
      </c>
      <c r="H12" s="8">
        <v>0.54759999999999998</v>
      </c>
      <c r="I12">
        <v>11272</v>
      </c>
      <c r="J12" s="8">
        <v>0.2001</v>
      </c>
      <c r="K12">
        <v>14217</v>
      </c>
      <c r="L12" s="8">
        <v>0.25240000000000001</v>
      </c>
      <c r="M12">
        <v>39549</v>
      </c>
      <c r="N12" s="8">
        <v>0.70199999999999996</v>
      </c>
      <c r="O12">
        <v>16789</v>
      </c>
      <c r="P12" s="8">
        <v>0.29799999999999999</v>
      </c>
      <c r="Q12">
        <v>358</v>
      </c>
    </row>
    <row r="13" spans="1:17" x14ac:dyDescent="0.35">
      <c r="A13" t="s">
        <v>30</v>
      </c>
      <c r="B13">
        <v>70714</v>
      </c>
      <c r="C13">
        <v>34811</v>
      </c>
      <c r="D13" s="8">
        <v>0.49230000000000002</v>
      </c>
      <c r="E13">
        <v>35903</v>
      </c>
      <c r="F13" s="8">
        <v>0.50770000000000004</v>
      </c>
      <c r="G13">
        <v>38446</v>
      </c>
      <c r="H13" s="8">
        <v>0.54369999999999996</v>
      </c>
      <c r="I13">
        <v>17288</v>
      </c>
      <c r="J13" s="8">
        <v>0.2445</v>
      </c>
      <c r="K13">
        <v>14980</v>
      </c>
      <c r="L13" s="8">
        <v>0.21179999999999999</v>
      </c>
      <c r="M13">
        <v>50203</v>
      </c>
      <c r="N13" s="8">
        <v>0.70989999999999998</v>
      </c>
      <c r="O13">
        <v>20511</v>
      </c>
      <c r="P13" s="8">
        <v>0.29010000000000002</v>
      </c>
      <c r="Q13">
        <v>335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0E0A-5D2F-48FD-A9E5-909A9D999BF0}">
  <dimension ref="A1:E14"/>
  <sheetViews>
    <sheetView workbookViewId="0">
      <selection activeCell="D9" sqref="D9"/>
    </sheetView>
  </sheetViews>
  <sheetFormatPr baseColWidth="10" defaultRowHeight="14.5" x14ac:dyDescent="0.35"/>
  <cols>
    <col min="1" max="1" width="16.54296875" bestFit="1" customWidth="1"/>
    <col min="2" max="2" width="18.6328125" bestFit="1" customWidth="1"/>
    <col min="4" max="4" width="14.90625" style="8" bestFit="1" customWidth="1"/>
    <col min="5" max="5" width="14" style="8" bestFit="1" customWidth="1"/>
  </cols>
  <sheetData>
    <row r="1" spans="1:5" x14ac:dyDescent="0.35">
      <c r="A1" s="6" t="s">
        <v>8</v>
      </c>
      <c r="B1" t="s">
        <v>62</v>
      </c>
      <c r="D1" s="9" t="s">
        <v>64</v>
      </c>
      <c r="E1" s="9"/>
    </row>
    <row r="2" spans="1:5" x14ac:dyDescent="0.35">
      <c r="A2" s="7" t="s">
        <v>19</v>
      </c>
      <c r="B2">
        <v>153033</v>
      </c>
      <c r="D2" s="8" cm="1">
        <f t="array" ref="D2">AVERAGE(SNASPE_LOS_LAGOS[Part. Hombres]+SNASPE_LOS_LAGOS[Part. Mujeres])</f>
        <v>1</v>
      </c>
    </row>
    <row r="3" spans="1:5" x14ac:dyDescent="0.35">
      <c r="A3" s="7" t="s">
        <v>20</v>
      </c>
      <c r="B3">
        <v>208537</v>
      </c>
    </row>
    <row r="4" spans="1:5" x14ac:dyDescent="0.35">
      <c r="A4" s="7" t="s">
        <v>21</v>
      </c>
      <c r="B4">
        <v>64779</v>
      </c>
      <c r="D4" s="9" t="s">
        <v>65</v>
      </c>
      <c r="E4" s="9"/>
    </row>
    <row r="5" spans="1:5" x14ac:dyDescent="0.35">
      <c r="A5" s="7" t="s">
        <v>22</v>
      </c>
      <c r="B5">
        <v>33488</v>
      </c>
      <c r="D5" s="8" cm="1">
        <f t="array" ref="D5">AVERAGE(SNASPE_LOS_LAGOS[Part. Adultos]+SNASPE_LOS_LAGOS[Part. Menor]+SNASPE_LOS_LAGOS[Part. Adulto Mayor])</f>
        <v>1.0000249999999999</v>
      </c>
    </row>
    <row r="6" spans="1:5" x14ac:dyDescent="0.35">
      <c r="A6" s="7" t="s">
        <v>23</v>
      </c>
      <c r="B6">
        <v>31650</v>
      </c>
    </row>
    <row r="7" spans="1:5" x14ac:dyDescent="0.35">
      <c r="A7" s="7" t="s">
        <v>24</v>
      </c>
      <c r="B7">
        <v>38671</v>
      </c>
      <c r="D7" s="9" t="s">
        <v>66</v>
      </c>
      <c r="E7" s="9"/>
    </row>
    <row r="8" spans="1:5" x14ac:dyDescent="0.35">
      <c r="A8" s="7" t="s">
        <v>25</v>
      </c>
      <c r="B8">
        <v>62261</v>
      </c>
      <c r="D8" s="8" cm="1">
        <f t="array" ref="D8">AVERAGE(SNASPE_LOS_LAGOS[Part. Chileno]+SNASPE_LOS_LAGOS[Part. Extranjero])</f>
        <v>1</v>
      </c>
    </row>
    <row r="9" spans="1:5" x14ac:dyDescent="0.35">
      <c r="A9" s="7" t="s">
        <v>26</v>
      </c>
      <c r="B9">
        <v>40685</v>
      </c>
    </row>
    <row r="10" spans="1:5" x14ac:dyDescent="0.35">
      <c r="A10" s="7" t="s">
        <v>27</v>
      </c>
      <c r="B10">
        <v>40196</v>
      </c>
    </row>
    <row r="11" spans="1:5" x14ac:dyDescent="0.35">
      <c r="A11" s="7" t="s">
        <v>28</v>
      </c>
      <c r="B11">
        <v>49461</v>
      </c>
    </row>
    <row r="12" spans="1:5" x14ac:dyDescent="0.35">
      <c r="A12" s="7" t="s">
        <v>29</v>
      </c>
      <c r="B12">
        <v>56338</v>
      </c>
    </row>
    <row r="13" spans="1:5" x14ac:dyDescent="0.35">
      <c r="A13" s="7" t="s">
        <v>30</v>
      </c>
      <c r="B13">
        <v>70714</v>
      </c>
    </row>
    <row r="14" spans="1:5" x14ac:dyDescent="0.35">
      <c r="A14" s="7" t="s">
        <v>63</v>
      </c>
      <c r="B14">
        <v>849813</v>
      </c>
    </row>
  </sheetData>
  <mergeCells count="3">
    <mergeCell ref="D1:E1"/>
    <mergeCell ref="D4:E4"/>
    <mergeCell ref="D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C4B68A-6557-4DE7-B1B3-E2C4A5FA07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Datos_Trabajados</vt:lpstr>
      <vt:lpstr>SNASPE LOS LAGOS</vt:lpstr>
      <vt:lpstr>Validación_Datos</vt:lpstr>
      <vt:lpstr>Rango Etario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Javiera Aguilar</cp:lastModifiedBy>
  <dcterms:created xsi:type="dcterms:W3CDTF">2025-12-31T20:44:21Z</dcterms:created>
  <dcterms:modified xsi:type="dcterms:W3CDTF">2026-01-05T17:32:52Z</dcterms:modified>
</cp:coreProperties>
</file>